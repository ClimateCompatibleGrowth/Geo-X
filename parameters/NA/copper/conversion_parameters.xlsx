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iyhanaqvi/Desktop/SHIELD/integrating-geominx/Geo-X/parameters/DJ/copper/"/>
    </mc:Choice>
  </mc:AlternateContent>
  <xr:revisionPtr revIDLastSave="0" documentId="13_ncr:1_{78693517-25CC-8A4C-B847-229DEA6E62F7}" xr6:coauthVersionLast="47" xr6:coauthVersionMax="47" xr10:uidLastSave="{00000000-0000-0000-0000-000000000000}"/>
  <bookViews>
    <workbookView xWindow="-38400" yWindow="-2480" windowWidth="13420" windowHeight="21600" xr2:uid="{18B0DDC9-B74C-4E09-B886-3EB1C823232B}"/>
  </bookViews>
  <sheets>
    <sheet name="CuAnode" sheetId="7" r:id="rId1"/>
    <sheet name="CuCathode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7" l="1"/>
</calcChain>
</file>

<file path=xl/sharedStrings.xml><?xml version="1.0" encoding="utf-8"?>
<sst xmlns="http://schemas.openxmlformats.org/spreadsheetml/2006/main" count="26" uniqueCount="13">
  <si>
    <t>Parameter</t>
  </si>
  <si>
    <t>Plant lifetime (a)</t>
  </si>
  <si>
    <t>Efficiency (kg product / kg feedstock)</t>
  </si>
  <si>
    <t>Electricity demand (kWh per kg product)</t>
  </si>
  <si>
    <t>Diesel demand (kWh per kg product)</t>
  </si>
  <si>
    <t>Opex Other (euros/tonne)</t>
  </si>
  <si>
    <t>Opex Royalties (euros/tonne)</t>
  </si>
  <si>
    <t>CapEx exp coef B (euros/tonne)</t>
  </si>
  <si>
    <t>Opex Corporate overhead (euros/tonne)</t>
  </si>
  <si>
    <t>Opex Reagents (euros/tonne)</t>
  </si>
  <si>
    <t>Opex Labor (euros/tonne)</t>
  </si>
  <si>
    <t>Feedstock price (euros per kg feedstock)</t>
  </si>
  <si>
    <t>Water intensity (L/kg product)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</si>
</sst>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3296-CF5F-4D38-9343-E0D4F93EB467}">
  <dimension ref="A1:C18"/>
  <sheetViews>
    <sheetView tabSelected="1" workbookViewId="0">
      <selection activeCell="A44" sqref="A44"/>
    </sheetView>
  </sheetViews>
  <sheetFormatPr baseColWidth="10" defaultColWidth="8.83203125" defaultRowHeight="15" x14ac:dyDescent="0.2"/>
  <cols>
    <col min="1" max="1" width="41.33203125" bestFit="1" customWidth="1"/>
  </cols>
  <sheetData>
    <row r="1" spans="1:2" x14ac:dyDescent="0.2">
      <c r="A1" s="2" t="s">
        <v>0</v>
      </c>
    </row>
    <row r="2" spans="1:2" x14ac:dyDescent="0.2">
      <c r="A2" s="2" t="s">
        <v>3</v>
      </c>
      <c r="B2">
        <v>0.91100000000000003</v>
      </c>
    </row>
    <row r="3" spans="1:2" x14ac:dyDescent="0.2">
      <c r="A3" s="2" t="s">
        <v>4</v>
      </c>
      <c r="B3">
        <v>1.1597200000000001</v>
      </c>
    </row>
    <row r="4" spans="1:2" x14ac:dyDescent="0.2">
      <c r="A4" s="2" t="s">
        <v>1</v>
      </c>
      <c r="B4">
        <v>30</v>
      </c>
    </row>
    <row r="5" spans="1:2" x14ac:dyDescent="0.2">
      <c r="A5" s="2" t="s">
        <v>2</v>
      </c>
      <c r="B5">
        <f>1/3.87</f>
        <v>0.25839793281653745</v>
      </c>
    </row>
    <row r="6" spans="1:2" x14ac:dyDescent="0.2">
      <c r="A6" s="2" t="s">
        <v>10</v>
      </c>
      <c r="B6">
        <v>554.89</v>
      </c>
    </row>
    <row r="7" spans="1:2" x14ac:dyDescent="0.2">
      <c r="A7" s="2" t="s">
        <v>9</v>
      </c>
      <c r="B7">
        <v>369.38</v>
      </c>
    </row>
    <row r="8" spans="1:2" x14ac:dyDescent="0.2">
      <c r="A8" s="2" t="s">
        <v>8</v>
      </c>
      <c r="B8">
        <v>96.13</v>
      </c>
    </row>
    <row r="9" spans="1:2" x14ac:dyDescent="0.2">
      <c r="A9" s="2" t="s">
        <v>5</v>
      </c>
      <c r="B9">
        <v>587.32000000000005</v>
      </c>
    </row>
    <row r="10" spans="1:2" x14ac:dyDescent="0.2">
      <c r="A10" s="2" t="s">
        <v>6</v>
      </c>
      <c r="B10">
        <v>304.73</v>
      </c>
    </row>
    <row r="11" spans="1:2" x14ac:dyDescent="0.2">
      <c r="A11" s="2" t="s">
        <v>7</v>
      </c>
      <c r="B11">
        <v>641.84</v>
      </c>
    </row>
    <row r="12" spans="1:2" x14ac:dyDescent="0.2">
      <c r="A12" s="2" t="s">
        <v>11</v>
      </c>
      <c r="B12">
        <v>0.59235000000000004</v>
      </c>
    </row>
    <row r="13" spans="1:2" x14ac:dyDescent="0.2">
      <c r="A13" s="2" t="s">
        <v>12</v>
      </c>
      <c r="B13">
        <v>1.2</v>
      </c>
    </row>
    <row r="14" spans="1:2" x14ac:dyDescent="0.2">
      <c r="B14" s="1"/>
    </row>
    <row r="18" spans="3:3" x14ac:dyDescent="0.2">
      <c r="C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1EC6-F613-4C24-A11F-C4C45B503896}">
  <dimension ref="A1:B14"/>
  <sheetViews>
    <sheetView workbookViewId="0">
      <selection activeCell="B20" sqref="B20"/>
    </sheetView>
  </sheetViews>
  <sheetFormatPr baseColWidth="10" defaultColWidth="8.83203125" defaultRowHeight="15" x14ac:dyDescent="0.2"/>
  <cols>
    <col min="1" max="1" width="41.33203125" bestFit="1" customWidth="1"/>
  </cols>
  <sheetData>
    <row r="1" spans="1:2" x14ac:dyDescent="0.2">
      <c r="A1" t="s">
        <v>0</v>
      </c>
    </row>
    <row r="2" spans="1:2" x14ac:dyDescent="0.2">
      <c r="A2" t="s">
        <v>3</v>
      </c>
      <c r="B2">
        <v>3.831</v>
      </c>
    </row>
    <row r="3" spans="1:2" x14ac:dyDescent="0.2">
      <c r="A3" t="s">
        <v>4</v>
      </c>
      <c r="B3">
        <v>1.8387200000000001</v>
      </c>
    </row>
    <row r="4" spans="1:2" x14ac:dyDescent="0.2">
      <c r="A4" t="s">
        <v>1</v>
      </c>
      <c r="B4">
        <v>20</v>
      </c>
    </row>
    <row r="5" spans="1:2" x14ac:dyDescent="0.2">
      <c r="A5" t="s">
        <v>2</v>
      </c>
      <c r="B5">
        <v>0.25839793281653745</v>
      </c>
    </row>
    <row r="6" spans="1:2" x14ac:dyDescent="0.2">
      <c r="A6" t="s">
        <v>10</v>
      </c>
      <c r="B6">
        <v>554.89</v>
      </c>
    </row>
    <row r="7" spans="1:2" x14ac:dyDescent="0.2">
      <c r="A7" t="s">
        <v>9</v>
      </c>
      <c r="B7">
        <v>369.38</v>
      </c>
    </row>
    <row r="8" spans="1:2" x14ac:dyDescent="0.2">
      <c r="A8" t="s">
        <v>8</v>
      </c>
      <c r="B8">
        <v>96.13</v>
      </c>
    </row>
    <row r="9" spans="1:2" x14ac:dyDescent="0.2">
      <c r="A9" t="s">
        <v>5</v>
      </c>
      <c r="B9">
        <v>587.32000000000005</v>
      </c>
    </row>
    <row r="10" spans="1:2" x14ac:dyDescent="0.2">
      <c r="A10" t="s">
        <v>6</v>
      </c>
      <c r="B10">
        <v>304.73</v>
      </c>
    </row>
    <row r="11" spans="1:2" x14ac:dyDescent="0.2">
      <c r="A11" t="s">
        <v>7</v>
      </c>
      <c r="B11">
        <v>641.84</v>
      </c>
    </row>
    <row r="12" spans="1:2" x14ac:dyDescent="0.2">
      <c r="A12" t="s">
        <v>11</v>
      </c>
      <c r="B12">
        <v>0.59235000000000004</v>
      </c>
    </row>
    <row r="13" spans="1:2" x14ac:dyDescent="0.2">
      <c r="A13" t="s">
        <v>12</v>
      </c>
      <c r="B13">
        <v>1.7</v>
      </c>
    </row>
    <row r="14" spans="1:2" x14ac:dyDescent="0.2">
      <c r="B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CuAnode</vt:lpstr>
      <vt:lpstr>CuCathode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Halloran</dc:creator>
  <cp:lastModifiedBy>Samiyha Naqvi</cp:lastModifiedBy>
  <dcterms:created xsi:type="dcterms:W3CDTF">2023-02-16T14:45:47Z</dcterms:created>
  <dcterms:modified xsi:type="dcterms:W3CDTF">2026-01-12T18:16:32Z</dcterms:modified>
</cp:coreProperties>
</file>